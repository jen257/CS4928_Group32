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35905C4-C3AA-4D6C-8307-3C2FFD9DD3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Verification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G3" i="1"/>
  <c r="G4" i="1"/>
  <c r="G5" i="1"/>
  <c r="G2" i="1"/>
  <c r="F2" i="1"/>
  <c r="F3" i="1"/>
  <c r="F4" i="1"/>
  <c r="F5" i="1"/>
</calcChain>
</file>

<file path=xl/sharedStrings.xml><?xml version="1.0" encoding="utf-8"?>
<sst xmlns="http://schemas.openxmlformats.org/spreadsheetml/2006/main" count="73" uniqueCount="70">
  <si>
    <t>Generator</t>
  </si>
  <si>
    <t>Test Smell</t>
  </si>
  <si>
    <t>Total Samples</t>
  </si>
  <si>
    <t>Positive Samples</t>
  </si>
  <si>
    <t>Paper Prevalence (%)</t>
  </si>
  <si>
    <t>Our Prevalence (%)</t>
  </si>
  <si>
    <t>Deviation (pp)</t>
  </si>
  <si>
    <t>Result</t>
  </si>
  <si>
    <t>GPT-3.5</t>
  </si>
  <si>
    <t>EvoSuite</t>
  </si>
  <si>
    <t>AR</t>
    <phoneticPr fontId="1" type="noConversion"/>
  </si>
  <si>
    <t>LT</t>
    <phoneticPr fontId="1" type="noConversion"/>
  </si>
  <si>
    <t>EvoSuite</t>
    <phoneticPr fontId="1" type="noConversion"/>
  </si>
  <si>
    <t>Data Verification Report</t>
  </si>
  <si>
    <t>1. Data Sources</t>
  </si>
  <si>
    <t>Research Parer</t>
    <phoneticPr fontId="1" type="noConversion"/>
  </si>
  <si>
    <t>Reference Table</t>
    <phoneticPr fontId="1" type="noConversion"/>
  </si>
  <si>
    <t>Dataset</t>
    <phoneticPr fontId="1" type="noConversion"/>
  </si>
  <si>
    <t>Detection Tool</t>
    <phoneticPr fontId="1" type="noConversion"/>
  </si>
  <si>
    <t>GPT-3.5 CSV</t>
    <phoneticPr fontId="1" type="noConversion"/>
  </si>
  <si>
    <t>EvoSuite CSV</t>
    <phoneticPr fontId="1" type="noConversion"/>
  </si>
  <si>
    <t>Test Smells</t>
    <phoneticPr fontId="1" type="noConversion"/>
  </si>
  <si>
    <t>On the Diffusion of Test Smells in LLM-Generated Unit Tests</t>
  </si>
  <si>
    <t>Appendix A, Table 17(a) - TsDetect</t>
  </si>
  <si>
    <t>Defects4J</t>
    <phoneticPr fontId="1" type="noConversion"/>
  </si>
  <si>
    <t>TsDetect</t>
    <phoneticPr fontId="1" type="noConversion"/>
  </si>
  <si>
    <t>GPT_Merged_Results.csv</t>
    <phoneticPr fontId="1" type="noConversion"/>
  </si>
  <si>
    <t>Benchmark1_TSDetect_Merged_Quarter.csv</t>
    <phoneticPr fontId="1" type="noConversion"/>
  </si>
  <si>
    <t>Assertion Roulette (AR), Lazy Test (LT)</t>
  </si>
  <si>
    <t>2. Counting Method</t>
  </si>
  <si>
    <t>Unit of Analysis</t>
  </si>
  <si>
    <t>One qualifying CSV record represents one test sample.</t>
  </si>
  <si>
    <t>Dataset Filter</t>
  </si>
  <si>
    <t>Only Defects4J records were included.</t>
  </si>
  <si>
    <t>Positive Case Rule</t>
  </si>
  <si>
    <t>A sample is positive if the detected AR or LT occurrence count is greater than 0.</t>
  </si>
  <si>
    <t>Prevalence Formula</t>
  </si>
  <si>
    <t>(Positive Samples / Total Samples) × 100</t>
  </si>
  <si>
    <t>GPT-3.5 Samples</t>
  </si>
  <si>
    <t>EvoSuite Samples</t>
  </si>
  <si>
    <t>3. Data Quality Checks</t>
  </si>
  <si>
    <t>Zero-Method Records</t>
  </si>
  <si>
    <t>13 GPT-3.5 records have NumberOfMethods = 0.</t>
  </si>
  <si>
    <t>Primary Denominator</t>
  </si>
  <si>
    <t>All 9,760 qualifying GPT-3.5 records were retained for the main comparison.</t>
  </si>
  <si>
    <t>Alternative Denominator</t>
  </si>
  <si>
    <t>Excluding the 13 records leaves 9,747 samples.</t>
  </si>
  <si>
    <t>Sensitivity Analysis</t>
  </si>
  <si>
    <t>With 9,747 samples, AR prevalence is 47.00% and LT prevalence is 48.73%.</t>
  </si>
  <si>
    <t>Methodology Note</t>
  </si>
  <si>
    <t>The paper does not explicitly specify how zero-method records should be handled.</t>
  </si>
  <si>
    <t>Duplicate Records</t>
  </si>
  <si>
    <t>No exact duplicate rows or repeated TestFilePath values were found in the filtered Defects4J data.</t>
  </si>
  <si>
    <t>Missing Values</t>
  </si>
  <si>
    <t>No missing values were found in TestFilePath, NumberOfMethods, AR, or LT.</t>
  </si>
  <si>
    <t>Empty Path Fields</t>
  </si>
  <si>
    <t>RelativeTestFilePath and RelativeProductionFilePath are empty but do not affect the prevalence calculations.</t>
  </si>
  <si>
    <t>Numeric Validation</t>
  </si>
  <si>
    <t>All NumberOfMethods, AR, and LT values are non-negative integers.</t>
  </si>
  <si>
    <t>4. Verification Conclusion</t>
  </si>
  <si>
    <t>GPT-3.5 Results</t>
  </si>
  <si>
    <t>AR = 46.94% and LT = 48.67%. Both match the values reported in Table 17(a).</t>
  </si>
  <si>
    <t>EvoSuite Results</t>
  </si>
  <si>
    <t>AR = 38.24%, matching the paper. LT = 76.94%, compared with 82.18% in the paper.</t>
  </si>
  <si>
    <t>Maximum Deviation</t>
  </si>
  <si>
    <t>5.24 percentage points (EvoSuite LT).</t>
  </si>
  <si>
    <t>Verification Result</t>
  </si>
  <si>
    <t>All four prevalence values are within the predefined 15-percentage-point threshold.</t>
  </si>
  <si>
    <t>Limitation</t>
  </si>
  <si>
    <t>The cause of the EvoSuite LT discrepancy remains unknown.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</si>
</sst>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76201</xdr:rowOff>
    </xdr:from>
    <xdr:to>
      <xdr:col>8</xdr:col>
      <xdr:colOff>95250</xdr:colOff>
      <xdr:row>18</xdr:row>
      <xdr:rowOff>94372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B8FF134-B98F-9F9E-E66D-8C1081050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201"/>
          <a:ext cx="7607300" cy="2329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24" sqref="E24"/>
    </sheetView>
  </sheetViews>
  <sheetFormatPr defaultRowHeight="14" x14ac:dyDescent="0.3"/>
  <cols>
    <col min="1" max="2" width="8.6640625" style="1"/>
    <col min="3" max="3" width="12.33203125" style="1" bestFit="1" customWidth="1"/>
    <col min="4" max="4" width="14.58203125" style="1" bestFit="1" customWidth="1"/>
    <col min="5" max="5" width="17.4140625" style="1" bestFit="1" customWidth="1"/>
    <col min="6" max="6" width="15.83203125" style="1" bestFit="1" customWidth="1"/>
    <col min="7" max="7" width="12.4140625" style="1" bestFit="1" customWidth="1"/>
    <col min="8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10</v>
      </c>
      <c r="C2" s="1">
        <v>9760</v>
      </c>
      <c r="D2" s="1">
        <v>4581</v>
      </c>
      <c r="E2" s="1">
        <v>46.94</v>
      </c>
      <c r="F2" s="1">
        <f>ROUND(D2/C2*100,2)</f>
        <v>46.94</v>
      </c>
      <c r="G2">
        <f>ROUND(ABS(E2-F2),2)</f>
        <v>0</v>
      </c>
      <c r="H2" s="1" t="str">
        <f>IF(G2&lt;=15,"PASS","NON-REPRODUCTION")</f>
        <v>PASS</v>
      </c>
    </row>
    <row r="3" spans="1:8" x14ac:dyDescent="0.3">
      <c r="A3" s="1" t="s">
        <v>8</v>
      </c>
      <c r="B3" s="1" t="s">
        <v>11</v>
      </c>
      <c r="C3" s="1">
        <v>9760</v>
      </c>
      <c r="D3" s="1">
        <v>4750</v>
      </c>
      <c r="E3" s="1">
        <v>48.67</v>
      </c>
      <c r="F3" s="1">
        <f t="shared" ref="E3:F5" si="0">ROUND(D3/C3*100,2)</f>
        <v>48.67</v>
      </c>
      <c r="G3">
        <f t="shared" ref="G3:G5" si="1">ROUND(ABS(E3-F3),2)</f>
        <v>0</v>
      </c>
      <c r="H3" s="1" t="str">
        <f t="shared" ref="H3:H5" si="2">IF(G3&lt;=15,"PASS","NON-REPRODUCTION")</f>
        <v>PASS</v>
      </c>
    </row>
    <row r="4" spans="1:8" x14ac:dyDescent="0.3">
      <c r="A4" s="1" t="s">
        <v>9</v>
      </c>
      <c r="B4" s="1" t="s">
        <v>10</v>
      </c>
      <c r="C4" s="1">
        <v>4346</v>
      </c>
      <c r="D4" s="1">
        <v>1662</v>
      </c>
      <c r="E4" s="1">
        <v>38.24</v>
      </c>
      <c r="F4" s="1">
        <f t="shared" si="0"/>
        <v>38.24</v>
      </c>
      <c r="G4">
        <f t="shared" si="1"/>
        <v>0</v>
      </c>
      <c r="H4" s="1" t="str">
        <f t="shared" si="2"/>
        <v>PASS</v>
      </c>
    </row>
    <row r="5" spans="1:8" x14ac:dyDescent="0.3">
      <c r="A5" s="1" t="s">
        <v>12</v>
      </c>
      <c r="B5" s="1" t="s">
        <v>11</v>
      </c>
      <c r="C5" s="1">
        <v>4346</v>
      </c>
      <c r="D5" s="1">
        <v>3344</v>
      </c>
      <c r="E5" s="1">
        <v>82.18</v>
      </c>
      <c r="F5" s="1">
        <f t="shared" si="0"/>
        <v>76.94</v>
      </c>
      <c r="G5">
        <f t="shared" si="1"/>
        <v>5.24</v>
      </c>
      <c r="H5" s="1" t="str">
        <f t="shared" si="2"/>
        <v>PASS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2332-A4FB-4B93-B6B7-638BB21007F8}">
  <dimension ref="A1:B41"/>
  <sheetViews>
    <sheetView zoomScale="85" zoomScaleNormal="85" workbookViewId="0">
      <selection activeCell="B41" sqref="B41"/>
    </sheetView>
  </sheetViews>
  <sheetFormatPr defaultRowHeight="14" x14ac:dyDescent="0.3"/>
  <cols>
    <col min="1" max="1" width="20.6640625" style="1" bestFit="1" customWidth="1"/>
    <col min="2" max="2" width="82.1640625" style="1" bestFit="1" customWidth="1"/>
    <col min="3" max="16384" width="8.6640625" style="1"/>
  </cols>
  <sheetData>
    <row r="1" spans="1:2" x14ac:dyDescent="0.3">
      <c r="A1" s="1" t="s">
        <v>13</v>
      </c>
    </row>
    <row r="3" spans="1:2" x14ac:dyDescent="0.3">
      <c r="A3" s="1" t="s">
        <v>14</v>
      </c>
    </row>
    <row r="5" spans="1:2" x14ac:dyDescent="0.3">
      <c r="A5" s="1" t="s">
        <v>15</v>
      </c>
      <c r="B5" s="1" t="s">
        <v>22</v>
      </c>
    </row>
    <row r="6" spans="1:2" x14ac:dyDescent="0.3">
      <c r="A6" s="1" t="s">
        <v>16</v>
      </c>
      <c r="B6" s="1" t="s">
        <v>23</v>
      </c>
    </row>
    <row r="7" spans="1:2" x14ac:dyDescent="0.3">
      <c r="A7" s="1" t="s">
        <v>17</v>
      </c>
      <c r="B7" s="1" t="s">
        <v>24</v>
      </c>
    </row>
    <row r="8" spans="1:2" x14ac:dyDescent="0.3">
      <c r="A8" s="1" t="s">
        <v>18</v>
      </c>
      <c r="B8" s="1" t="s">
        <v>25</v>
      </c>
    </row>
    <row r="9" spans="1:2" x14ac:dyDescent="0.3">
      <c r="A9" s="1" t="s">
        <v>19</v>
      </c>
      <c r="B9" s="1" t="s">
        <v>26</v>
      </c>
    </row>
    <row r="10" spans="1:2" x14ac:dyDescent="0.3">
      <c r="A10" s="1" t="s">
        <v>20</v>
      </c>
      <c r="B10" s="1" t="s">
        <v>27</v>
      </c>
    </row>
    <row r="11" spans="1:2" x14ac:dyDescent="0.3">
      <c r="A11" s="1" t="s">
        <v>21</v>
      </c>
      <c r="B11" s="1" t="s">
        <v>28</v>
      </c>
    </row>
    <row r="13" spans="1:2" x14ac:dyDescent="0.3">
      <c r="A13" s="1" t="s">
        <v>29</v>
      </c>
    </row>
    <row r="15" spans="1:2" x14ac:dyDescent="0.3">
      <c r="A15" s="1" t="s">
        <v>30</v>
      </c>
      <c r="B15" s="1" t="s">
        <v>31</v>
      </c>
    </row>
    <row r="16" spans="1:2" x14ac:dyDescent="0.3">
      <c r="A16" s="1" t="s">
        <v>32</v>
      </c>
      <c r="B16" s="1" t="s">
        <v>33</v>
      </c>
    </row>
    <row r="17" spans="1:2" x14ac:dyDescent="0.3">
      <c r="A17" s="1" t="s">
        <v>34</v>
      </c>
      <c r="B17" s="1" t="s">
        <v>35</v>
      </c>
    </row>
    <row r="18" spans="1:2" x14ac:dyDescent="0.3">
      <c r="A18" s="1" t="s">
        <v>36</v>
      </c>
      <c r="B18" s="1" t="s">
        <v>37</v>
      </c>
    </row>
    <row r="19" spans="1:2" x14ac:dyDescent="0.3">
      <c r="A19" s="1" t="s">
        <v>38</v>
      </c>
      <c r="B19" s="1">
        <v>9760</v>
      </c>
    </row>
    <row r="20" spans="1:2" x14ac:dyDescent="0.3">
      <c r="A20" s="1" t="s">
        <v>39</v>
      </c>
      <c r="B20" s="1">
        <v>4346</v>
      </c>
    </row>
    <row r="22" spans="1:2" x14ac:dyDescent="0.3">
      <c r="A22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30" spans="1:2" x14ac:dyDescent="0.3">
      <c r="A30" t="s">
        <v>51</v>
      </c>
      <c r="B30" t="s">
        <v>52</v>
      </c>
    </row>
    <row r="31" spans="1:2" x14ac:dyDescent="0.3">
      <c r="A31" t="s">
        <v>53</v>
      </c>
      <c r="B31" t="s">
        <v>54</v>
      </c>
    </row>
    <row r="32" spans="1:2" x14ac:dyDescent="0.3">
      <c r="A32" t="s">
        <v>55</v>
      </c>
      <c r="B32" t="s">
        <v>56</v>
      </c>
    </row>
    <row r="33" spans="1:2" x14ac:dyDescent="0.3">
      <c r="A33" t="s">
        <v>57</v>
      </c>
      <c r="B33" t="s">
        <v>58</v>
      </c>
    </row>
    <row r="35" spans="1:2" x14ac:dyDescent="0.3">
      <c r="A35" t="s">
        <v>59</v>
      </c>
    </row>
    <row r="37" spans="1:2" x14ac:dyDescent="0.3">
      <c r="A37" t="s">
        <v>60</v>
      </c>
      <c r="B37" t="s">
        <v>61</v>
      </c>
    </row>
    <row r="38" spans="1:2" x14ac:dyDescent="0.3">
      <c r="A38" t="s">
        <v>62</v>
      </c>
      <c r="B38" t="s">
        <v>63</v>
      </c>
    </row>
    <row r="39" spans="1:2" x14ac:dyDescent="0.3">
      <c r="A39" t="s">
        <v>64</v>
      </c>
      <c r="B39" t="s">
        <v>65</v>
      </c>
    </row>
    <row r="40" spans="1:2" x14ac:dyDescent="0.3">
      <c r="A40" t="s">
        <v>66</v>
      </c>
      <c r="B40" t="s">
        <v>67</v>
      </c>
    </row>
    <row r="41" spans="1:2" x14ac:dyDescent="0.3">
      <c r="A41" t="s">
        <v>68</v>
      </c>
      <c r="B41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Verification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ULStudent:BEI.YU</cp:lastModifiedBy>
  <dcterms:created xsi:type="dcterms:W3CDTF">2015-06-05T18:19:34Z</dcterms:created>
  <dcterms:modified xsi:type="dcterms:W3CDTF">2026-10-17T17:56:24Z</dcterms:modified>
</cp:coreProperties>
</file>