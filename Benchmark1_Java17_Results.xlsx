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2d6591833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va17 results" sheetId="1" r:id="Ra467476365e443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"/>
  </x:numFmts>
  <x:fonts count="7">
    <x:font>
      <x:sz val="11"/>
      <x:name val="Carlito"/>
    </x:font>
    <x:font>
      <x:sz val="10"/>
      <x:color rgb="FF182537"/>
      <x:name val="Arial"/>
    </x:font>
    <x:font>
      <x:b/>
      <x:sz val="15"/>
      <x:color rgb="FF182537"/>
      <x:name val="Arial"/>
    </x:font>
    <x:font>
      <x:b/>
      <x:sz val="10"/>
      <x:color rgb="FFFFFFFF"/>
      <x:name val="Arial"/>
    </x:font>
    <x:font>
      <x:b/>
      <x:sz val="12"/>
      <x:color rgb="FF182537"/>
      <x:name val="Arial"/>
    </x:font>
    <x:font>
      <x:b/>
      <x:sz val="10"/>
      <x:color rgb="FF182537"/>
      <x:name val="Arial"/>
    </x:font>
    <x:font>
      <x:sz val="10"/>
      <x:color rgb="FF56627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73C59"/>
      </x:patternFill>
    </x:fill>
    <x:fill>
      <x:patternFill patternType="solid">
        <x:fgColor rgb="FFF2F5F8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6E8198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ce33603093423b" /><Relationship Type="http://schemas.openxmlformats.org/officeDocument/2006/relationships/theme" Target="/xl/theme/theme1.xml" Id="R01808b6e822646cf" /><Relationship Type="http://schemas.openxmlformats.org/officeDocument/2006/relationships/sharedStrings" Target="/xl/sharedStrings.xml" Id="R2121bf83126b4c82" /><Relationship Type="http://schemas.openxmlformats.org/officeDocument/2006/relationships/worksheet" Target="/xl/worksheets/sheet1.xml" Id="Ra467476365e443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7" hidden="0" customWidth="1"/>
    <x:col min="3" max="3" width="12" hidden="0" customWidth="1"/>
    <x:col min="4" max="4" width="12" hidden="0" customWidth="1"/>
    <x:col min="5" max="5" width="11" hidden="0" customWidth="1"/>
    <x:col min="6" max="6" width="12" hidden="0" customWidth="1"/>
    <x:col min="7" max="7" width="14" hidden="0" customWidth="1"/>
    <x:col min="8" max="8" width="12" hidden="0" customWidth="1"/>
    <x:col min="9" max="9" width="14" hidden="0" customWidth="1"/>
    <x:col min="10" max="10" width="12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2" customHeight="1">
      <x:c r="A2" s="3" t="str">
        <x:v>Benchmark-1 results on Java 17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ht="29" customHeight="1">
      <x:c r="A4" s="6" t="str">
        <x:v>Model</x:v>
      </x:c>
      <x:c r="B4" s="6" t="str">
        <x:v>Dataset</x:v>
      </x:c>
      <x:c r="C4" s="6" t="str">
        <x:v>Expected</x:v>
      </x:c>
      <x:c r="D4" s="6" t="str">
        <x:v>Successful</x:v>
      </x:c>
      <x:c r="E4" s="6" t="str">
        <x:v>Failures</x:v>
      </x:c>
      <x:c r="F4" s="6" t="str">
        <x:v>0 methods</x:v>
      </x:c>
      <x:c r="G4" s="6" t="str">
        <x:v>AR flagged</x:v>
      </x:c>
      <x:c r="H4" s="6" t="str">
        <x:v>AR rate</x:v>
      </x:c>
      <x:c r="I4" s="6" t="str">
        <x:v>LT flagged</x:v>
      </x:c>
      <x:c r="J4" s="6" t="str">
        <x:v>LT rate</x:v>
      </x:c>
    </x:row>
    <x:row r="5" ht="22" customHeight="1">
      <x:c r="A5" s="2" t="str">
        <x:f>A16</x:f>
        <x:v>GPT-3.5</x:v>
      </x:c>
      <x:c r="B5" s="2" t="str">
        <x:f>B16</x:f>
        <x:v>Defects4J</x:v>
      </x:c>
      <x:c r="C5" s="17" t="n">
        <x:f>C16</x:f>
        <x:v>9760</x:v>
      </x:c>
      <x:c r="D5" s="17" t="n">
        <x:f>D16</x:f>
        <x:v>9760</x:v>
      </x:c>
      <x:c r="E5" s="17" t="n">
        <x:f>E16</x:f>
        <x:v>0</x:v>
      </x:c>
      <x:c r="F5" s="17" t="n">
        <x:f>F16</x:f>
        <x:v>13</x:v>
      </x:c>
      <x:c r="G5" s="17" t="n">
        <x:f>G16</x:f>
        <x:v>4581</x:v>
      </x:c>
      <x:c r="H5" s="22" t="n">
        <x:f>H16</x:f>
        <x:v>0.46936475409836065</x:v>
      </x:c>
      <x:c r="I5" s="17" t="n">
        <x:f>I16</x:f>
        <x:v>4750</x:v>
      </x:c>
      <x:c r="J5" s="22" t="n">
        <x:f>J16</x:f>
        <x:v>0.48668032786885246</x:v>
      </x:c>
    </x:row>
    <x:row r="6" ht="22" customHeight="1">
      <x:c r="A6" s="2" t="str">
        <x:f>A14</x:f>
        <x:v>EvoSuite</x:v>
      </x:c>
      <x:c r="B6" s="2" t="str">
        <x:f>B14</x:f>
        <x:v>Defects4J</x:v>
      </x:c>
      <x:c r="C6" s="17" t="n">
        <x:f>C14</x:f>
        <x:v>4346</x:v>
      </x:c>
      <x:c r="D6" s="17" t="n">
        <x:f>D14</x:f>
        <x:v>4346</x:v>
      </x:c>
      <x:c r="E6" s="17" t="n">
        <x:f>E14</x:f>
        <x:v>0</x:v>
      </x:c>
      <x:c r="F6" s="17" t="n">
        <x:f>F14</x:f>
        <x:v>0</x:v>
      </x:c>
      <x:c r="G6" s="17" t="n">
        <x:f>G14</x:f>
        <x:v>1662</x:v>
      </x:c>
      <x:c r="H6" s="22" t="n">
        <x:f>H14</x:f>
        <x:v>0.3824206166589968</x:v>
      </x:c>
      <x:c r="I6" s="17" t="n">
        <x:f>I14</x:f>
        <x:v>3344</x:v>
      </x:c>
      <x:c r="J6" s="22" t="n">
        <x:f>J14</x:f>
        <x:v>0.7694431661297745</x:v>
      </x:c>
    </x:row>
    <x:row r="7" ht="22" customHeight="1">
      <x:c r="A7" s="2"/>
      <x:c r="B7" s="2"/>
      <x:c r="C7" s="17"/>
      <x:c r="D7" s="17"/>
      <x:c r="E7" s="17"/>
      <x:c r="F7" s="17"/>
      <x:c r="G7" s="17"/>
      <x:c r="H7" s="17"/>
      <x:c r="I7" s="17"/>
      <x:c r="J7" s="17"/>
    </x:row>
    <x:row r="8" ht="22" customHeight="1">
      <x:c r="A8" s="11" t="str">
        <x:v>Primary run: Eclipse Temurin 17.0.20+8. RQ1 uses only the two Defects4J groups above.</x:v>
      </x:c>
      <x:c r="B8" s="11"/>
      <x:c r="C8" s="18"/>
      <x:c r="D8" s="18"/>
      <x:c r="E8" s="18"/>
      <x:c r="F8" s="18"/>
      <x:c r="G8" s="18"/>
      <x:c r="H8" s="18"/>
      <x:c r="I8" s="18"/>
      <x:c r="J8" s="18"/>
    </x:row>
    <x:row r="9" ht="22" customHeight="1">
      <x:c r="A9" s="11" t="str">
        <x:v>Presence means count &gt; 0; zero-method numeric outputs are retained and separately listed for review.</x:v>
      </x:c>
      <x:c r="B9" s="11"/>
      <x:c r="C9" s="18"/>
      <x:c r="D9" s="18"/>
      <x:c r="E9" s="18"/>
      <x:c r="F9" s="18"/>
      <x:c r="G9" s="18"/>
      <x:c r="H9" s="18"/>
      <x:c r="I9" s="18"/>
      <x:c r="J9" s="18"/>
    </x:row>
    <x:row r="10" ht="22" customHeight="1">
      <x:c r="A10" s="2"/>
      <x:c r="B10" s="2"/>
      <x:c r="C10" s="17"/>
      <x:c r="D10" s="17"/>
      <x:c r="E10" s="17"/>
      <x:c r="F10" s="17"/>
      <x:c r="G10" s="17"/>
      <x:c r="H10" s="17"/>
      <x:c r="I10" s="17"/>
      <x:c r="J10" s="17"/>
    </x:row>
    <x:row r="11" ht="22" customHeight="1">
      <x:c r="A11" s="7" t="str">
        <x:v>All released Benchmark-1 groups</x:v>
      </x:c>
      <x:c r="B11" s="2"/>
      <x:c r="C11" s="17"/>
      <x:c r="D11" s="17"/>
      <x:c r="E11" s="17"/>
      <x:c r="F11" s="17"/>
      <x:c r="G11" s="17"/>
      <x:c r="H11" s="17"/>
      <x:c r="I11" s="17"/>
      <x:c r="J11" s="17"/>
    </x:row>
    <x:row r="12" ht="22" customHeight="1">
      <x:c r="A12" s="2"/>
      <x:c r="B12" s="2"/>
      <x:c r="C12" s="17"/>
      <x:c r="D12" s="17"/>
      <x:c r="E12" s="17"/>
      <x:c r="F12" s="17"/>
      <x:c r="G12" s="17"/>
      <x:c r="H12" s="17"/>
      <x:c r="I12" s="17"/>
      <x:c r="J12" s="17"/>
    </x:row>
    <x:row r="13" ht="29" customHeight="1">
      <x:c r="A13" s="6" t="str">
        <x:v>Model</x:v>
      </x:c>
      <x:c r="B13" s="6" t="str">
        <x:v>Dataset</x:v>
      </x:c>
      <x:c r="C13" s="14" t="str">
        <x:v>Expected</x:v>
      </x:c>
      <x:c r="D13" s="14" t="str">
        <x:v>Successful</x:v>
      </x:c>
      <x:c r="E13" s="14" t="str">
        <x:v>Failures</x:v>
      </x:c>
      <x:c r="F13" s="14" t="str">
        <x:v>0 methods</x:v>
      </x:c>
      <x:c r="G13" s="14" t="str">
        <x:v>AR flagged</x:v>
      </x:c>
      <x:c r="H13" s="14" t="str">
        <x:v>AR rate</x:v>
      </x:c>
      <x:c r="I13" s="14" t="str">
        <x:v>LT flagged</x:v>
      </x:c>
      <x:c r="J13" s="14" t="str">
        <x:v>LT rate</x:v>
      </x:c>
    </x:row>
    <x:row r="14" ht="22" customHeight="1">
      <x:c r="A14" s="8" t="str">
        <x:v>EvoSuite</x:v>
      </x:c>
      <x:c r="B14" s="8" t="str">
        <x:v>Defects4J</x:v>
      </x:c>
      <x:c r="C14" s="20" t="n">
        <x:v>4346</x:v>
      </x:c>
      <x:c r="D14" s="20" t="n">
        <x:v>4346</x:v>
      </x:c>
      <x:c r="E14" s="20" t="n">
        <x:v>0</x:v>
      </x:c>
      <x:c r="F14" s="20" t="n">
        <x:v>0</x:v>
      </x:c>
      <x:c r="G14" s="20" t="n">
        <x:v>1662</x:v>
      </x:c>
      <x:c r="H14" s="23" t="n">
        <x:f>IF(D14=0,"n.a.",G14/D14)</x:f>
        <x:v>0.3824206166589968</x:v>
      </x:c>
      <x:c r="I14" s="20" t="n">
        <x:v>3344</x:v>
      </x:c>
      <x:c r="J14" s="23" t="n">
        <x:f>IF(D14=0,"n.a.",I14/D14)</x:f>
        <x:v>0.7694431661297745</x:v>
      </x:c>
    </x:row>
    <x:row r="15" ht="22" customHeight="1">
      <x:c r="A15" s="2" t="str">
        <x:v>EvoSuite</x:v>
      </x:c>
      <x:c r="B15" s="2" t="str">
        <x:v>SF110</x:v>
      </x:c>
      <x:c r="C15" s="17" t="n">
        <x:v>6062</x:v>
      </x:c>
      <x:c r="D15" s="17" t="n">
        <x:v>6062</x:v>
      </x:c>
      <x:c r="E15" s="17" t="n">
        <x:v>0</x:v>
      </x:c>
      <x:c r="F15" s="17" t="n">
        <x:v>0</x:v>
      </x:c>
      <x:c r="G15" s="17" t="n">
        <x:v>3078</x:v>
      </x:c>
      <x:c r="H15" s="22" t="n">
        <x:f>IF(D15=0,"n.a.",G15/D15)</x:f>
        <x:v>0.5077532167601452</x:v>
      </x:c>
      <x:c r="I15" s="17" t="n">
        <x:v>4982</x:v>
      </x:c>
      <x:c r="J15" s="22" t="n">
        <x:f>IF(D15=0,"n.a.",I15/D15)</x:f>
        <x:v>0.8218409765753877</x:v>
      </x:c>
    </x:row>
    <x:row r="16" ht="22" customHeight="1">
      <x:c r="A16" s="8" t="str">
        <x:v>GPT-3.5</x:v>
      </x:c>
      <x:c r="B16" s="8" t="str">
        <x:v>Defects4J</x:v>
      </x:c>
      <x:c r="C16" s="20" t="n">
        <x:v>9760</x:v>
      </x:c>
      <x:c r="D16" s="20" t="n">
        <x:v>9760</x:v>
      </x:c>
      <x:c r="E16" s="20" t="n">
        <x:v>0</x:v>
      </x:c>
      <x:c r="F16" s="20" t="n">
        <x:v>13</x:v>
      </x:c>
      <x:c r="G16" s="20" t="n">
        <x:v>4581</x:v>
      </x:c>
      <x:c r="H16" s="23" t="n">
        <x:f>IF(D16=0,"n.a.",G16/D16)</x:f>
        <x:v>0.46936475409836065</x:v>
      </x:c>
      <x:c r="I16" s="20" t="n">
        <x:v>4750</x:v>
      </x:c>
      <x:c r="J16" s="23" t="n">
        <x:f>IF(D16=0,"n.a.",I16/D16)</x:f>
        <x:v>0.48668032786885246</x:v>
      </x:c>
    </x:row>
    <x:row r="17" ht="22" customHeight="1">
      <x:c r="A17" s="2" t="str">
        <x:v>GPT-3.5</x:v>
      </x:c>
      <x:c r="B17" s="2" t="str">
        <x:v>CMD*</x:v>
      </x:c>
      <x:c r="C17" s="17" t="n">
        <x:v>726</x:v>
      </x:c>
      <x:c r="D17" s="17" t="n">
        <x:v>726</x:v>
      </x:c>
      <x:c r="E17" s="17" t="n">
        <x:v>0</x:v>
      </x:c>
      <x:c r="F17" s="17" t="n">
        <x:v>0</x:v>
      </x:c>
      <x:c r="G17" s="17" t="n">
        <x:v>124</x:v>
      </x:c>
      <x:c r="H17" s="22" t="n">
        <x:f>IF(D17=0,"n.a.",G17/D17)</x:f>
        <x:v>0.17079889807162535</x:v>
      </x:c>
      <x:c r="I17" s="17" t="n">
        <x:v>114</x:v>
      </x:c>
      <x:c r="J17" s="22" t="n">
        <x:f>IF(D17=0,"n.a.",I17/D17)</x:f>
        <x:v>0.15702479338842976</x:v>
      </x:c>
    </x:row>
    <x:row r="18" ht="22" customHeight="1">
      <x:c r="A18" s="8" t="str">
        <x:v>GPT-3.5</x:v>
      </x:c>
      <x:c r="B18" s="8" t="str">
        <x:v>SF110</x:v>
      </x:c>
      <x:c r="C18" s="20" t="n">
        <x:v>6258</x:v>
      </x:c>
      <x:c r="D18" s="20" t="n">
        <x:v>6258</x:v>
      </x:c>
      <x:c r="E18" s="20" t="n">
        <x:v>0</x:v>
      </x:c>
      <x:c r="F18" s="20" t="n">
        <x:v>9</x:v>
      </x:c>
      <x:c r="G18" s="20" t="n">
        <x:v>3037</x:v>
      </x:c>
      <x:c r="H18" s="23" t="n">
        <x:f>IF(D18=0,"n.a.",G18/D18)</x:f>
        <x:v>0.4852988175135826</x:v>
      </x:c>
      <x:c r="I18" s="20" t="n">
        <x:v>3237</x:v>
      </x:c>
      <x:c r="J18" s="23" t="n">
        <x:f>IF(D18=0,"n.a.",I18/D18)</x:f>
        <x:v>0.5172579098753596</x:v>
      </x:c>
    </x:row>
    <x:row r="19" ht="22" customHeight="1">
      <x:c r="A19" s="2" t="str">
        <x:v>GPT-4</x:v>
      </x:c>
      <x:c r="B19" s="2" t="str">
        <x:v>CMD*</x:v>
      </x:c>
      <x:c r="C19" s="17" t="n">
        <x:v>421</x:v>
      </x:c>
      <x:c r="D19" s="17" t="n">
        <x:v>421</x:v>
      </x:c>
      <x:c r="E19" s="17" t="n">
        <x:v>0</x:v>
      </x:c>
      <x:c r="F19" s="17" t="n">
        <x:v>6</x:v>
      </x:c>
      <x:c r="G19" s="17" t="n">
        <x:v>96</x:v>
      </x:c>
      <x:c r="H19" s="22" t="n">
        <x:f>IF(D19=0,"n.a.",G19/D19)</x:f>
        <x:v>0.22802850356294538</x:v>
      </x:c>
      <x:c r="I19" s="17" t="n">
        <x:v>137</x:v>
      </x:c>
      <x:c r="J19" s="22" t="n">
        <x:f>IF(D19=0,"n.a.",I19/D19)</x:f>
        <x:v>0.3254156769596199</x:v>
      </x:c>
    </x:row>
    <x:row r="20" ht="22" customHeight="1">
      <x:c r="A20" s="8" t="str">
        <x:v>Mistral7B</x:v>
      </x:c>
      <x:c r="B20" s="8" t="str">
        <x:v>Defects4J</x:v>
      </x:c>
      <x:c r="C20" s="20" t="n">
        <x:v>1531</x:v>
      </x:c>
      <x:c r="D20" s="20" t="n">
        <x:v>1531</x:v>
      </x:c>
      <x:c r="E20" s="20" t="n">
        <x:v>0</x:v>
      </x:c>
      <x:c r="F20" s="20" t="n">
        <x:v>108</x:v>
      </x:c>
      <x:c r="G20" s="20" t="n">
        <x:v>835</x:v>
      </x:c>
      <x:c r="H20" s="23" t="n">
        <x:f>IF(D20=0,"n.a.",G20/D20)</x:f>
        <x:v>0.5453951665578054</x:v>
      </x:c>
      <x:c r="I20" s="20" t="n">
        <x:v>858</x:v>
      </x:c>
      <x:c r="J20" s="23" t="n">
        <x:f>IF(D20=0,"n.a.",I20/D20)</x:f>
        <x:v>0.5604180274330502</x:v>
      </x:c>
    </x:row>
    <x:row r="21" ht="22" customHeight="1">
      <x:c r="A21" s="2" t="str">
        <x:v>Mistral7B</x:v>
      </x:c>
      <x:c r="B21" s="2" t="str">
        <x:v>CMD*</x:v>
      </x:c>
      <x:c r="C21" s="17" t="n">
        <x:v>14</x:v>
      </x:c>
      <x:c r="D21" s="17" t="n">
        <x:v>14</x:v>
      </x:c>
      <x:c r="E21" s="17" t="n">
        <x:v>0</x:v>
      </x:c>
      <x:c r="F21" s="17" t="n">
        <x:v>4</x:v>
      </x:c>
      <x:c r="G21" s="17" t="n">
        <x:v>2</x:v>
      </x:c>
      <x:c r="H21" s="22" t="n">
        <x:f>IF(D21=0,"n.a.",G21/D21)</x:f>
        <x:v>0.14285714285714285</x:v>
      </x:c>
      <x:c r="I21" s="17" t="n">
        <x:v>1</x:v>
      </x:c>
      <x:c r="J21" s="22" t="n">
        <x:f>IF(D21=0,"n.a.",I21/D21)</x:f>
        <x:v>0.07142857142857142</x:v>
      </x:c>
    </x:row>
    <x:row r="22" ht="22" customHeight="1">
      <x:c r="A22" s="8" t="str">
        <x:v>Mistral7B</x:v>
      </x:c>
      <x:c r="B22" s="8" t="str">
        <x:v>SF110</x:v>
      </x:c>
      <x:c r="C22" s="20" t="n">
        <x:v>1773</x:v>
      </x:c>
      <x:c r="D22" s="20" t="n">
        <x:v>1773</x:v>
      </x:c>
      <x:c r="E22" s="20" t="n">
        <x:v>0</x:v>
      </x:c>
      <x:c r="F22" s="20" t="n">
        <x:v>135</x:v>
      </x:c>
      <x:c r="G22" s="20" t="n">
        <x:v>736</x:v>
      </x:c>
      <x:c r="H22" s="23" t="n">
        <x:f>IF(D22=0,"n.a.",G22/D22)</x:f>
        <x:v>0.41511562323745066</x:v>
      </x:c>
      <x:c r="I22" s="20" t="n">
        <x:v>796</x:v>
      </x:c>
      <x:c r="J22" s="23" t="n">
        <x:f>IF(D22=0,"n.a.",I22/D22)</x:f>
        <x:v>0.44895657078398193</x:v>
      </x:c>
    </x:row>
    <x:row r="23" ht="22" customHeight="1">
      <x:c r="A23" s="2" t="str">
        <x:v>Mixtral8x7b</x:v>
      </x:c>
      <x:c r="B23" s="2" t="str">
        <x:v>CMD*</x:v>
      </x:c>
      <x:c r="C23" s="17" t="n">
        <x:v>22</x:v>
      </x:c>
      <x:c r="D23" s="17" t="n">
        <x:v>22</x:v>
      </x:c>
      <x:c r="E23" s="17" t="n">
        <x:v>0</x:v>
      </x:c>
      <x:c r="F23" s="17" t="n">
        <x:v>0</x:v>
      </x:c>
      <x:c r="G23" s="17" t="n">
        <x:v>7</x:v>
      </x:c>
      <x:c r="H23" s="22" t="n">
        <x:f>IF(D23=0,"n.a.",G23/D23)</x:f>
        <x:v>0.3181818181818182</x:v>
      </x:c>
      <x:c r="I23" s="17" t="n">
        <x:v>7</x:v>
      </x:c>
      <x:c r="J23" s="22" t="n">
        <x:f>IF(D23=0,"n.a.",I23/D23)</x:f>
        <x:v>0.3181818181818182</x:v>
      </x:c>
    </x:row>
    <x:row r="24" ht="22" customHeight="1">
      <x:c r="A24" s="2"/>
      <x:c r="B24" s="2"/>
      <x:c r="C24" s="17"/>
      <x:c r="D24" s="17"/>
      <x:c r="E24" s="17"/>
      <x:c r="F24" s="17"/>
      <x:c r="G24" s="17"/>
      <x:c r="H24" s="17"/>
      <x:c r="I24" s="17"/>
      <x:c r="J24" s="17"/>
    </x:row>
    <x:row r="25" ht="22" customHeight="1">
      <x:c r="A25" s="10" t="str">
        <x:v>Total records</x:v>
      </x:c>
      <x:c r="B25" s="10"/>
      <x:c r="C25" s="21" t="n">
        <x:f>SUM(C14:C23)</x:f>
        <x:v>30913</x:v>
      </x:c>
      <x:c r="D25" s="21" t="n">
        <x:f>SUM(D14:D23)</x:f>
        <x:v>30913</x:v>
      </x:c>
      <x:c r="E25" s="21" t="n">
        <x:f>SUM(E14:E23)</x:f>
        <x:v>0</x:v>
      </x:c>
      <x:c r="F25" s="21" t="n">
        <x:f>SUM(F14:F23)</x:f>
        <x:v>275</x:v>
      </x:c>
      <x:c r="G25" s="21"/>
      <x:c r="H25" s="21"/>
      <x:c r="I25" s="21"/>
      <x:c r="J25" s="21"/>
    </x:row>
    <x:row r="26" ht="22" customHeight="1">
      <x:c r="A26" s="11" t="str">
        <x:v>* CMD is NEWDATASET in the artifact; original ingestion filenames identify the CMD group.</x:v>
      </x:c>
      <x:c r="B26" s="11"/>
      <x:c r="C26" s="11"/>
      <x:c r="D26" s="11"/>
      <x:c r="E26" s="11"/>
      <x:c r="F26" s="11"/>
      <x:c r="G26" s="11"/>
      <x:c r="H26" s="11"/>
      <x:c r="I26" s="11"/>
      <x:c r="J26" s="11"/>
    </x:row>
    <x:row r="27" ht="22" customHeight="1">
      <x:c r="A27" s="11" t="str">
        <x:v>Source: Java-17 detector outputs and prevalence_by_group.csv; raw observations are retained in CSV/logs.</x:v>
      </x:c>
      <x:c r="B27" s="11"/>
      <x:c r="C27" s="11"/>
      <x:c r="D27" s="11"/>
      <x:c r="E27" s="11"/>
      <x:c r="F27" s="11"/>
      <x:c r="G27" s="11"/>
      <x:c r="H27" s="11"/>
      <x:c r="I27" s="11"/>
      <x:c r="J27" s="11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 ht="22" customHeight="1">
      <x:c r="A29" s="7" t="str">
        <x:v>RQ1 comparison with paper Table 17(a)</x:v>
      </x:c>
      <x:c r="B29" s="2"/>
      <x:c r="C29" s="2"/>
      <x:c r="D29" s="2"/>
      <x:c r="E29" s="2"/>
      <x:c r="F29" s="2"/>
      <x:c r="G29" s="2"/>
      <x:c r="H29" s="2"/>
      <x:c r="I29" s="2"/>
      <x:c r="J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 ht="29" customHeight="1">
      <x:c r="A31" s="6" t="str">
        <x:v>Model</x:v>
      </x:c>
      <x:c r="B31" s="6" t="str">
        <x:v>Smell</x:v>
      </x:c>
      <x:c r="C31" s="6" t="str">
        <x:v>Paper rate</x:v>
      </x:c>
      <x:c r="D31" s="6" t="str">
        <x:v>Java17 rate</x:v>
      </x:c>
      <x:c r="E31" s="6" t="str">
        <x:v>Difference pp</x:v>
      </x:c>
      <x:c r="F31" s="6" t="str">
        <x:v>Limit pp</x:v>
      </x:c>
      <x:c r="G31" s="6" t="str">
        <x:v>Decision</x:v>
      </x:c>
      <x:c r="H31" s="2"/>
      <x:c r="I31" s="2"/>
      <x:c r="J31" s="2"/>
    </x:row>
    <x:row r="32" ht="22" customHeight="1">
      <x:c r="A32" s="2" t="str">
        <x:v>EvoSuite</x:v>
      </x:c>
      <x:c r="B32" s="2" t="str">
        <x:v>AR</x:v>
      </x:c>
      <x:c r="C32" s="22" t="n">
        <x:v>0.3824</x:v>
      </x:c>
      <x:c r="D32" s="22" t="n">
        <x:f>H14</x:f>
        <x:v>0.3824206166589968</x:v>
      </x:c>
      <x:c r="E32" s="26" t="n">
        <x:f>ABS(D32-C32)*100</x:f>
        <x:v>0.0020616658996774895</x:v>
      </x:c>
      <x:c r="F32" s="27" t="n">
        <x:v>15</x:v>
      </x:c>
      <x:c r="G32" s="28" t="str">
        <x:f>IF(E32&gt;F32,"Above limit","Within limit")</x:f>
        <x:v>Within limit</x:v>
      </x:c>
      <x:c r="H32" s="2"/>
      <x:c r="I32" s="2"/>
      <x:c r="J32" s="2"/>
    </x:row>
    <x:row r="33" ht="22" customHeight="1">
      <x:c r="A33" s="2" t="str">
        <x:v>EvoSuite</x:v>
      </x:c>
      <x:c r="B33" s="2" t="str">
        <x:v>LT</x:v>
      </x:c>
      <x:c r="C33" s="22" t="n">
        <x:v>0.8218000000000001</x:v>
      </x:c>
      <x:c r="D33" s="22" t="n">
        <x:f>J14</x:f>
        <x:v>0.7694431661297745</x:v>
      </x:c>
      <x:c r="E33" s="26" t="n">
        <x:f>ABS(D33-C33)*100</x:f>
        <x:v>5.2356833870225605</x:v>
      </x:c>
      <x:c r="F33" s="27" t="n">
        <x:v>15</x:v>
      </x:c>
      <x:c r="G33" s="28" t="str">
        <x:f>IF(E33&gt;F33,"Above limit","Within limit")</x:f>
        <x:v>Within limit</x:v>
      </x:c>
      <x:c r="H33" s="2"/>
      <x:c r="I33" s="2"/>
      <x:c r="J33" s="2"/>
    </x:row>
    <x:row r="34" ht="22" customHeight="1">
      <x:c r="A34" s="2" t="str">
        <x:v>GPT-3.5</x:v>
      </x:c>
      <x:c r="B34" s="2" t="str">
        <x:v>AR</x:v>
      </x:c>
      <x:c r="C34" s="22" t="n">
        <x:v>0.4694</x:v>
      </x:c>
      <x:c r="D34" s="22" t="n">
        <x:f>H16</x:f>
        <x:v>0.46936475409836065</x:v>
      </x:c>
      <x:c r="E34" s="26" t="n">
        <x:f>ABS(D34-C34)*100</x:f>
        <x:v>0.003524590163933583</x:v>
      </x:c>
      <x:c r="F34" s="27" t="n">
        <x:v>15</x:v>
      </x:c>
      <x:c r="G34" s="28" t="str">
        <x:f>IF(E34&gt;F34,"Above limit","Within limit")</x:f>
        <x:v>Within limit</x:v>
      </x:c>
      <x:c r="H34" s="2"/>
      <x:c r="I34" s="2"/>
      <x:c r="J34" s="2"/>
    </x:row>
    <x:row r="35" ht="22" customHeight="1">
      <x:c r="A35" s="2" t="str">
        <x:v>GPT-3.5</x:v>
      </x:c>
      <x:c r="B35" s="2" t="str">
        <x:v>LT</x:v>
      </x:c>
      <x:c r="C35" s="22" t="n">
        <x:v>0.4867</x:v>
      </x:c>
      <x:c r="D35" s="22" t="n">
        <x:f>J16</x:f>
        <x:v>0.48668032786885246</x:v>
      </x:c>
      <x:c r="E35" s="26" t="n">
        <x:f>ABS(D35-C35)*100</x:f>
        <x:v>0.0019672131147563388</x:v>
      </x:c>
      <x:c r="F35" s="27" t="n">
        <x:v>15</x:v>
      </x:c>
      <x:c r="G35" s="28" t="str">
        <x:f>IF(E35&gt;F35,"Above limit","Within limit")</x:f>
        <x:v>Within limit</x:v>
      </x:c>
      <x:c r="H35" s="2"/>
      <x:c r="I35" s="2"/>
      <x:c r="J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 ht="22" customHeight="1">
      <x:c r="A38" s="11" t="str">
        <x:v>Paper population caveat: 14,469 EvoSuite suites are reported; 10,408 are in the released source index.</x:v>
      </x:c>
      <x:c r="B38" s="11"/>
      <x:c r="C38" s="11"/>
      <x:c r="D38" s="11"/>
      <x:c r="E38" s="11"/>
      <x:c r="F38" s="11"/>
      <x:c r="G38" s="11"/>
      <x:c r="H38" s="11"/>
      <x:c r="I38" s="11"/>
      <x:c r="J38" s="11"/>
    </x:row>
    <x:row r="39" ht="22" customHeight="1">
      <x:c r="A39" s="11" t="str">
        <x:v>Java major version is now aligned. The paper gives no patch version; full environment identity is not claimed.</x:v>
      </x:c>
      <x:c r="B39" s="11"/>
      <x:c r="C39" s="11"/>
      <x:c r="D39" s="11"/>
      <x:c r="E39" s="11"/>
      <x:c r="F39" s="11"/>
      <x:c r="G39" s="11"/>
      <x:c r="H39" s="11"/>
      <x:c r="I39" s="11"/>
      <x:c r="J39" s="11"/>
    </x:row>
    <x:row r="40" ht="22" customHeight="1">
      <x:c r="A40" s="11" t="str">
        <x:v>Paper uses Python 3.10; the driver ran with Python 3.12.14. This is static detection, not JUnit validation.</x:v>
      </x:c>
      <x:c r="B40" s="11"/>
      <x:c r="C40" s="11"/>
      <x:c r="D40" s="11"/>
      <x:c r="E40" s="11"/>
      <x:c r="F40" s="11"/>
      <x:c r="G40" s="11"/>
      <x:c r="H40" s="11"/>
      <x:c r="I40" s="11"/>
      <x:c r="J40" s="11"/>
    </x:row>
    <x:row r="41" ht="22" customHeight="1">
      <x:c r="A41" s="11" t="str">
        <x:v>Source: supplied paper, Appendix A Table 17(a), p.45; population p.11; environment p.17.</x:v>
      </x:c>
      <x:c r="B41" s="11"/>
      <x:c r="C41" s="11"/>
      <x:c r="D41" s="11"/>
      <x:c r="E41" s="11"/>
      <x:c r="F41" s="11"/>
      <x:c r="G41" s="11"/>
      <x:c r="H41" s="11"/>
      <x:c r="I41" s="11"/>
      <x:c r="J41" s="11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</x:sheetData>
  <x:pageMargins left="0.7" right="0.7" top="0.75" bottom="0.75" header="0.3" footer="0.3"/>
</x:worksheet>
</file>