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21B3F1C-B1E0-46BB-8B59-28C86A252A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Verification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H5" i="1"/>
  <c r="G3" i="1"/>
  <c r="H3" i="1" s="1"/>
  <c r="G4" i="1"/>
  <c r="H4" i="1" s="1"/>
  <c r="G5" i="1"/>
  <c r="G2" i="1"/>
  <c r="H2" i="1" s="1"/>
  <c r="F5" i="1"/>
</calcChain>
</file>

<file path=xl/sharedStrings.xml><?xml version="1.0" encoding="utf-8"?>
<sst xmlns="http://schemas.openxmlformats.org/spreadsheetml/2006/main" count="71" uniqueCount="66">
  <si>
    <t>Generator</t>
  </si>
  <si>
    <t>Test Smell</t>
  </si>
  <si>
    <t>Total Samples</t>
  </si>
  <si>
    <t>Positive Samples</t>
  </si>
  <si>
    <t>Paper Prevalence (%)</t>
  </si>
  <si>
    <t>Our Prevalence (%)</t>
  </si>
  <si>
    <t>Deviation (pp)</t>
  </si>
  <si>
    <t>Result</t>
  </si>
  <si>
    <t>GPT-3.5</t>
  </si>
  <si>
    <t>EvoSuite</t>
  </si>
  <si>
    <t>AR</t>
    <phoneticPr fontId="1" type="noConversion"/>
  </si>
  <si>
    <t>LT</t>
    <phoneticPr fontId="1" type="noConversion"/>
  </si>
  <si>
    <t>EvoSuite</t>
    <phoneticPr fontId="1" type="noConversion"/>
  </si>
  <si>
    <t>Data Verification Report</t>
  </si>
  <si>
    <t>1. Data Sources</t>
  </si>
  <si>
    <t>Reference Table</t>
    <phoneticPr fontId="1" type="noConversion"/>
  </si>
  <si>
    <t>Dataset</t>
    <phoneticPr fontId="1" type="noConversion"/>
  </si>
  <si>
    <t>Detection Tool</t>
    <phoneticPr fontId="1" type="noConversion"/>
  </si>
  <si>
    <t>GPT-3.5 CSV</t>
    <phoneticPr fontId="1" type="noConversion"/>
  </si>
  <si>
    <t>EvoSuite CSV</t>
    <phoneticPr fontId="1" type="noConversion"/>
  </si>
  <si>
    <t>Test Smells</t>
    <phoneticPr fontId="1" type="noConversion"/>
  </si>
  <si>
    <t>On the Diffusion of Test Smells in LLM-Generated Unit Tests</t>
  </si>
  <si>
    <t>Appendix A, Table 17(a) - TsDetect</t>
  </si>
  <si>
    <t>Defects4J</t>
    <phoneticPr fontId="1" type="noConversion"/>
  </si>
  <si>
    <t>TsDetect</t>
    <phoneticPr fontId="1" type="noConversion"/>
  </si>
  <si>
    <t>GPT_Merged_Results.csv</t>
    <phoneticPr fontId="1" type="noConversion"/>
  </si>
  <si>
    <t>Benchmark1_TSDetect_Merged_Quarter.csv</t>
    <phoneticPr fontId="1" type="noConversion"/>
  </si>
  <si>
    <t>Assertion Roulette (AR), Lazy Test (LT)</t>
  </si>
  <si>
    <t>2. Counting Method</t>
  </si>
  <si>
    <t>Unit of Analysis</t>
  </si>
  <si>
    <t>One qualifying CSV record represents one test sample.</t>
  </si>
  <si>
    <t>Dataset Filter</t>
  </si>
  <si>
    <t>Only Defects4J records were included.</t>
  </si>
  <si>
    <t>Positive Case Rule</t>
  </si>
  <si>
    <t>A sample is positive if the detected AR or LT occurrence count is greater than 0.</t>
  </si>
  <si>
    <t>Prevalence Formula</t>
  </si>
  <si>
    <t>(Positive Samples / Total Samples) × 100</t>
  </si>
  <si>
    <t>GPT-3.5 Results</t>
  </si>
  <si>
    <t>EvoSuite Results</t>
  </si>
  <si>
    <t>Maximum Deviation</t>
  </si>
  <si>
    <t>Deviation Threshold</t>
  </si>
  <si>
    <t>15 percentage points</t>
  </si>
  <si>
    <t>Decision Rule</t>
  </si>
  <si>
    <t>Non-reproduction if the deviation exceeds 15 percentage points.</t>
  </si>
  <si>
    <t>3. Reproduction Comparison</t>
    <phoneticPr fontId="1" type="noConversion"/>
  </si>
  <si>
    <t>GPT-3.5 AR</t>
  </si>
  <si>
    <t>Paper = 46.94%; Local = 9.39%; Deviation = 37.55 pp; FAIL.</t>
  </si>
  <si>
    <t>GPT-3.5 LT</t>
  </si>
  <si>
    <t>Paper = 48.67%; Local = 0.00%; Deviation = 48.67 pp; FAIL.</t>
  </si>
  <si>
    <t>EvoSuite AR</t>
  </si>
  <si>
    <t>Paper = 38.24%; Local = 38.24%; Deviation = 0.00 pp; PASS.</t>
  </si>
  <si>
    <t>EvoSuite LT</t>
  </si>
  <si>
    <t>Paper = 82.18%; Local = 76.94%; Deviation = 5.24 pp; PASS.</t>
  </si>
  <si>
    <t>Comparison Summary</t>
  </si>
  <si>
    <t>GPT-3.5 failed both comparisons, while EvoSuite passed both comparisons.</t>
  </si>
  <si>
    <t>48.67 percentage points (GPT-3.5 LT).</t>
  </si>
  <si>
    <t>Overall Result</t>
  </si>
  <si>
    <t>NON-REPRODUCTION.</t>
  </si>
  <si>
    <t>AR = 9.39% and LT = 0.00%. Both exceed the predefined 15-percentage-point deviation threshold.</t>
  </si>
  <si>
    <t>AR = 38.24% and LT = 76.94%. Both are within the predefined threshold.</t>
  </si>
  <si>
    <t>Reproduction Result</t>
  </si>
  <si>
    <t>NON-REPRODUCTION: GPT-3.5 failed to reproduce the paper's reported AR and LT prevalence, while EvoSuite met the reproduction threshold.</t>
  </si>
  <si>
    <t>Final Conclusion</t>
  </si>
  <si>
    <t>The overall reproduction was unsuccessful because the GPT-3.5 results exceeded the predefined 15-percentage-point threshold.</t>
  </si>
  <si>
    <t>4. Verification Conclusion</t>
    <phoneticPr fontId="1" type="noConversion"/>
  </si>
  <si>
    <t>Research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</si>
</sst>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76201</xdr:rowOff>
    </xdr:from>
    <xdr:to>
      <xdr:col>7</xdr:col>
      <xdr:colOff>755650</xdr:colOff>
      <xdr:row>18</xdr:row>
      <xdr:rowOff>94372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B8FF134-B98F-9F9E-E66D-8C1081050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201"/>
          <a:ext cx="7607300" cy="2329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11" sqref="J11"/>
    </sheetView>
  </sheetViews>
  <sheetFormatPr defaultRowHeight="14" x14ac:dyDescent="0.3"/>
  <cols>
    <col min="1" max="2" width="8.6640625" style="1"/>
    <col min="3" max="3" width="12.33203125" style="1" bestFit="1" customWidth="1"/>
    <col min="4" max="4" width="14.58203125" style="1" bestFit="1" customWidth="1"/>
    <col min="5" max="5" width="17.4140625" style="1" bestFit="1" customWidth="1"/>
    <col min="6" max="6" width="15.83203125" style="1" bestFit="1" customWidth="1"/>
    <col min="7" max="7" width="12.4140625" style="1" bestFit="1" customWidth="1"/>
    <col min="8" max="8" width="20.08203125" style="1" bestFit="1" customWidth="1"/>
    <col min="9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10</v>
      </c>
      <c r="C2" s="1">
        <v>9760</v>
      </c>
      <c r="D2" s="1">
        <v>916</v>
      </c>
      <c r="E2" s="1">
        <v>46.94</v>
      </c>
      <c r="F2" s="1">
        <f t="shared" ref="F2:F5" si="0">ROUND(D2/C2*100,2)</f>
        <v>9.39</v>
      </c>
      <c r="G2">
        <f>ROUND(ABS(E2-F2),2)</f>
        <v>37.549999999999997</v>
      </c>
      <c r="H2" s="1" t="str">
        <f>IF(G2&lt;=15,"PASS","NON-REPRODUCTION")</f>
        <v>NON-REPRODUCTION</v>
      </c>
    </row>
    <row r="3" spans="1:8" x14ac:dyDescent="0.3">
      <c r="A3" s="1" t="s">
        <v>8</v>
      </c>
      <c r="B3" s="1" t="s">
        <v>11</v>
      </c>
      <c r="C3" s="1">
        <v>9760</v>
      </c>
      <c r="D3" s="1">
        <v>0</v>
      </c>
      <c r="E3" s="1">
        <v>48.67</v>
      </c>
      <c r="F3" s="1">
        <f t="shared" si="0"/>
        <v>0</v>
      </c>
      <c r="G3">
        <f t="shared" ref="G3:G5" si="1">ROUND(ABS(E3-F3),2)</f>
        <v>48.67</v>
      </c>
      <c r="H3" s="1" t="str">
        <f t="shared" ref="H3:H5" si="2">IF(G3&lt;=15,"PASS","NON-REPRODUCTION")</f>
        <v>NON-REPRODUCTION</v>
      </c>
    </row>
    <row r="4" spans="1:8" x14ac:dyDescent="0.3">
      <c r="A4" s="1" t="s">
        <v>9</v>
      </c>
      <c r="B4" s="1" t="s">
        <v>10</v>
      </c>
      <c r="C4" s="1">
        <v>4346</v>
      </c>
      <c r="D4" s="1">
        <v>1662</v>
      </c>
      <c r="E4" s="1">
        <v>38.24</v>
      </c>
      <c r="F4" s="1">
        <f t="shared" si="0"/>
        <v>38.24</v>
      </c>
      <c r="G4">
        <f t="shared" si="1"/>
        <v>0</v>
      </c>
      <c r="H4" s="1" t="str">
        <f t="shared" si="2"/>
        <v>PASS</v>
      </c>
    </row>
    <row r="5" spans="1:8" x14ac:dyDescent="0.3">
      <c r="A5" s="1" t="s">
        <v>12</v>
      </c>
      <c r="B5" s="1" t="s">
        <v>11</v>
      </c>
      <c r="C5" s="1">
        <v>4346</v>
      </c>
      <c r="D5" s="1">
        <v>3344</v>
      </c>
      <c r="E5" s="1">
        <v>82.18</v>
      </c>
      <c r="F5" s="1">
        <f t="shared" si="0"/>
        <v>76.94</v>
      </c>
      <c r="G5">
        <f t="shared" si="1"/>
        <v>5.24</v>
      </c>
      <c r="H5" s="1" t="str">
        <f t="shared" si="2"/>
        <v>PASS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2332-A4FB-4B93-B6B7-638BB21007F8}">
  <dimension ref="A1:B39"/>
  <sheetViews>
    <sheetView zoomScale="85" zoomScaleNormal="85" workbookViewId="0">
      <selection activeCell="B12" sqref="B12"/>
    </sheetView>
  </sheetViews>
  <sheetFormatPr defaultRowHeight="14" x14ac:dyDescent="0.3"/>
  <cols>
    <col min="1" max="1" width="25.5" style="1" bestFit="1" customWidth="1"/>
    <col min="2" max="2" width="125.1640625" style="1" bestFit="1" customWidth="1"/>
    <col min="3" max="16384" width="8.6640625" style="1"/>
  </cols>
  <sheetData>
    <row r="1" spans="1:2" x14ac:dyDescent="0.3">
      <c r="A1" s="1" t="s">
        <v>13</v>
      </c>
      <c r="B1" s="2"/>
    </row>
    <row r="2" spans="1:2" x14ac:dyDescent="0.3">
      <c r="B2" s="2"/>
    </row>
    <row r="3" spans="1:2" x14ac:dyDescent="0.3">
      <c r="A3" s="1" t="s">
        <v>14</v>
      </c>
      <c r="B3" s="2"/>
    </row>
    <row r="4" spans="1:2" x14ac:dyDescent="0.3">
      <c r="B4" s="2"/>
    </row>
    <row r="5" spans="1:2" x14ac:dyDescent="0.3">
      <c r="A5" s="1" t="s">
        <v>65</v>
      </c>
      <c r="B5" s="2" t="s">
        <v>21</v>
      </c>
    </row>
    <row r="6" spans="1:2" x14ac:dyDescent="0.3">
      <c r="A6" s="1" t="s">
        <v>15</v>
      </c>
      <c r="B6" s="2" t="s">
        <v>22</v>
      </c>
    </row>
    <row r="7" spans="1:2" x14ac:dyDescent="0.3">
      <c r="A7" s="1" t="s">
        <v>16</v>
      </c>
      <c r="B7" s="2" t="s">
        <v>23</v>
      </c>
    </row>
    <row r="8" spans="1:2" x14ac:dyDescent="0.3">
      <c r="A8" s="1" t="s">
        <v>17</v>
      </c>
      <c r="B8" s="2" t="s">
        <v>24</v>
      </c>
    </row>
    <row r="9" spans="1:2" x14ac:dyDescent="0.3">
      <c r="A9" s="1" t="s">
        <v>18</v>
      </c>
      <c r="B9" s="2" t="s">
        <v>25</v>
      </c>
    </row>
    <row r="10" spans="1:2" x14ac:dyDescent="0.3">
      <c r="A10" s="1" t="s">
        <v>19</v>
      </c>
      <c r="B10" s="2" t="s">
        <v>26</v>
      </c>
    </row>
    <row r="11" spans="1:2" x14ac:dyDescent="0.3">
      <c r="A11" s="1" t="s">
        <v>20</v>
      </c>
      <c r="B11" s="2" t="s">
        <v>27</v>
      </c>
    </row>
    <row r="12" spans="1:2" x14ac:dyDescent="0.3">
      <c r="B12" s="2"/>
    </row>
    <row r="13" spans="1:2" x14ac:dyDescent="0.3">
      <c r="A13" s="1" t="s">
        <v>28</v>
      </c>
      <c r="B13" s="2"/>
    </row>
    <row r="14" spans="1:2" x14ac:dyDescent="0.3">
      <c r="B14" s="2"/>
    </row>
    <row r="15" spans="1:2" x14ac:dyDescent="0.3">
      <c r="A15" s="1" t="s">
        <v>29</v>
      </c>
      <c r="B15" s="2" t="s">
        <v>30</v>
      </c>
    </row>
    <row r="16" spans="1:2" x14ac:dyDescent="0.3">
      <c r="A16" s="1" t="s">
        <v>31</v>
      </c>
      <c r="B16" s="2" t="s">
        <v>32</v>
      </c>
    </row>
    <row r="17" spans="1:2" x14ac:dyDescent="0.3">
      <c r="A17" s="1" t="s">
        <v>33</v>
      </c>
      <c r="B17" s="2" t="s">
        <v>34</v>
      </c>
    </row>
    <row r="18" spans="1:2" x14ac:dyDescent="0.3">
      <c r="A18" s="1" t="s">
        <v>35</v>
      </c>
      <c r="B18" s="2" t="s">
        <v>36</v>
      </c>
    </row>
    <row r="19" spans="1:2" x14ac:dyDescent="0.3">
      <c r="A19" s="1" t="s">
        <v>40</v>
      </c>
      <c r="B19" s="2" t="s">
        <v>41</v>
      </c>
    </row>
    <row r="20" spans="1:2" x14ac:dyDescent="0.3">
      <c r="A20" s="1" t="s">
        <v>42</v>
      </c>
      <c r="B20" s="2" t="s">
        <v>43</v>
      </c>
    </row>
    <row r="21" spans="1:2" x14ac:dyDescent="0.3">
      <c r="B21" s="2"/>
    </row>
    <row r="22" spans="1:2" x14ac:dyDescent="0.3">
      <c r="A22" s="1" t="s">
        <v>44</v>
      </c>
      <c r="B22" s="2"/>
    </row>
    <row r="23" spans="1:2" x14ac:dyDescent="0.3">
      <c r="B23" s="2"/>
    </row>
    <row r="24" spans="1:2" x14ac:dyDescent="0.3">
      <c r="A24" s="1" t="s">
        <v>45</v>
      </c>
      <c r="B24" s="2" t="s">
        <v>46</v>
      </c>
    </row>
    <row r="25" spans="1:2" x14ac:dyDescent="0.3">
      <c r="A25" s="1" t="s">
        <v>47</v>
      </c>
      <c r="B25" s="2" t="s">
        <v>48</v>
      </c>
    </row>
    <row r="26" spans="1:2" x14ac:dyDescent="0.3">
      <c r="A26" s="1" t="s">
        <v>49</v>
      </c>
      <c r="B26" s="2" t="s">
        <v>50</v>
      </c>
    </row>
    <row r="27" spans="1:2" x14ac:dyDescent="0.3">
      <c r="A27" s="1" t="s">
        <v>51</v>
      </c>
      <c r="B27" s="2" t="s">
        <v>52</v>
      </c>
    </row>
    <row r="28" spans="1:2" x14ac:dyDescent="0.3">
      <c r="A28" s="1" t="s">
        <v>53</v>
      </c>
      <c r="B28" s="2" t="s">
        <v>54</v>
      </c>
    </row>
    <row r="29" spans="1:2" x14ac:dyDescent="0.3">
      <c r="B29" s="2"/>
    </row>
    <row r="30" spans="1:2" x14ac:dyDescent="0.3">
      <c r="A30" s="1" t="s">
        <v>39</v>
      </c>
      <c r="B30" s="2" t="s">
        <v>55</v>
      </c>
    </row>
    <row r="31" spans="1:2" x14ac:dyDescent="0.3">
      <c r="A31" s="1" t="s">
        <v>56</v>
      </c>
      <c r="B31" s="2" t="s">
        <v>57</v>
      </c>
    </row>
    <row r="32" spans="1:2" x14ac:dyDescent="0.3">
      <c r="B32" s="2"/>
    </row>
    <row r="33" spans="1:2" x14ac:dyDescent="0.3">
      <c r="A33" s="1" t="s">
        <v>64</v>
      </c>
      <c r="B33" s="2"/>
    </row>
    <row r="34" spans="1:2" x14ac:dyDescent="0.3">
      <c r="B34" s="2"/>
    </row>
    <row r="35" spans="1:2" x14ac:dyDescent="0.3">
      <c r="A35" s="1" t="s">
        <v>37</v>
      </c>
      <c r="B35" s="2" t="s">
        <v>58</v>
      </c>
    </row>
    <row r="36" spans="1:2" x14ac:dyDescent="0.3">
      <c r="A36" s="1" t="s">
        <v>38</v>
      </c>
      <c r="B36" s="2" t="s">
        <v>59</v>
      </c>
    </row>
    <row r="37" spans="1:2" x14ac:dyDescent="0.3">
      <c r="A37" s="1" t="s">
        <v>39</v>
      </c>
      <c r="B37" s="2" t="s">
        <v>55</v>
      </c>
    </row>
    <row r="38" spans="1:2" x14ac:dyDescent="0.3">
      <c r="A38" s="1" t="s">
        <v>60</v>
      </c>
      <c r="B38" s="2" t="s">
        <v>61</v>
      </c>
    </row>
    <row r="39" spans="1:2" x14ac:dyDescent="0.3">
      <c r="A39" s="1" t="s">
        <v>62</v>
      </c>
      <c r="B39" s="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Verification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ULStudent:BEI.YU</cp:lastModifiedBy>
  <dcterms:created xsi:type="dcterms:W3CDTF">2015-06-05T18:19:34Z</dcterms:created>
  <dcterms:modified xsi:type="dcterms:W3CDTF">2026-10-23T01:35:03Z</dcterms:modified>
</cp:coreProperties>
</file>